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6B619045-DCA4-4456-AF69-1B243E6F677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lt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K6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3" i="1"/>
  <c r="F2" i="1" s="1"/>
</calcChain>
</file>

<file path=xl/sharedStrings.xml><?xml version="1.0" encoding="utf-8"?>
<sst xmlns="http://schemas.openxmlformats.org/spreadsheetml/2006/main" count="14" uniqueCount="13">
  <si>
    <t>Carga</t>
  </si>
  <si>
    <t>Desplzamiento</t>
  </si>
  <si>
    <t>Esfuerzo</t>
  </si>
  <si>
    <t>P(Kn)</t>
  </si>
  <si>
    <t>u(mm)</t>
  </si>
  <si>
    <t>sigma(Mpa)</t>
  </si>
  <si>
    <t>fmax</t>
  </si>
  <si>
    <t>Parametros de la probeta</t>
  </si>
  <si>
    <t>D (Diametro)</t>
  </si>
  <si>
    <t>mm</t>
  </si>
  <si>
    <t>H(Altura)</t>
  </si>
  <si>
    <t>A(Area)</t>
  </si>
  <si>
    <t>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</si>
</sst>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H11" sqref="H11"/>
    </sheetView>
  </sheetViews>
  <sheetFormatPr defaultRowHeight="15"/>
  <cols>
    <col min="2" max="2" width="14.28515625" bestFit="1" customWidth="1"/>
    <col min="3" max="3" width="12.5703125" bestFit="1" customWidth="1"/>
    <col min="9" max="9" width="23.85546875" bestFit="1" customWidth="1"/>
    <col min="10" max="10" width="12.42578125" bestFit="1" customWidth="1"/>
  </cols>
  <sheetData>
    <row r="1" spans="1:12">
      <c r="A1" t="s">
        <v>0</v>
      </c>
      <c r="B1" t="s">
        <v>1</v>
      </c>
      <c r="C1" t="s">
        <v>2</v>
      </c>
    </row>
    <row r="2" spans="1:12">
      <c r="A2" t="s">
        <v>3</v>
      </c>
      <c r="B2" t="s">
        <v>4</v>
      </c>
      <c r="C2" t="s">
        <v>5</v>
      </c>
      <c r="E2" t="s">
        <v>6</v>
      </c>
      <c r="F2">
        <f>MAX(C:C)</f>
        <v>25.464788987440766</v>
      </c>
      <c r="I2" s="1" t="s">
        <v>7</v>
      </c>
    </row>
    <row r="3" spans="1:12">
      <c r="A3">
        <v>0</v>
      </c>
      <c r="B3">
        <v>0</v>
      </c>
      <c r="C3">
        <f>A3*1000/17671.46</f>
        <v>0</v>
      </c>
    </row>
    <row r="4" spans="1:12">
      <c r="A4">
        <v>25</v>
      </c>
      <c r="B4">
        <v>4.2000000000000003E-2</v>
      </c>
      <c r="C4">
        <f>A4*1000/17671.46</f>
        <v>1.4147104993022648</v>
      </c>
      <c r="J4" t="s">
        <v>8</v>
      </c>
      <c r="K4">
        <v>150</v>
      </c>
      <c r="L4" t="s">
        <v>9</v>
      </c>
    </row>
    <row r="5" spans="1:12">
      <c r="A5">
        <v>50</v>
      </c>
      <c r="B5">
        <v>8.5000000000000006E-2</v>
      </c>
      <c r="C5">
        <f>A5*1000/17671.46</f>
        <v>2.8294209986045296</v>
      </c>
      <c r="J5" t="s">
        <v>10</v>
      </c>
      <c r="K5">
        <v>300</v>
      </c>
      <c r="L5" t="s">
        <v>9</v>
      </c>
    </row>
    <row r="6" spans="1:12">
      <c r="A6">
        <v>75</v>
      </c>
      <c r="B6">
        <v>0.129</v>
      </c>
      <c r="C6">
        <f>A6*1000/17671.46</f>
        <v>4.2441314979067943</v>
      </c>
      <c r="J6" t="s">
        <v>11</v>
      </c>
      <c r="K6">
        <f>3.1415*(K4/2)^2</f>
        <v>17670.9375</v>
      </c>
      <c r="L6" t="s">
        <v>12</v>
      </c>
    </row>
    <row r="7" spans="1:12">
      <c r="A7">
        <v>100</v>
      </c>
      <c r="B7">
        <v>0.17399999999999999</v>
      </c>
      <c r="C7">
        <f>A7*1000/17671.46</f>
        <v>5.6588419972090591</v>
      </c>
    </row>
    <row r="8" spans="1:12">
      <c r="A8">
        <v>125</v>
      </c>
      <c r="B8">
        <v>0.22</v>
      </c>
      <c r="C8">
        <f>A8*1000/17671.46</f>
        <v>7.0735524965113239</v>
      </c>
    </row>
    <row r="9" spans="1:12">
      <c r="A9">
        <v>150</v>
      </c>
      <c r="B9">
        <v>0.26800000000000002</v>
      </c>
      <c r="C9">
        <f>A9*1000/17671.46</f>
        <v>8.4882629958135887</v>
      </c>
    </row>
    <row r="10" spans="1:12">
      <c r="A10">
        <v>175</v>
      </c>
      <c r="B10">
        <v>0.316</v>
      </c>
      <c r="C10">
        <f>A10*1000/17671.46</f>
        <v>9.9029734951158535</v>
      </c>
    </row>
    <row r="11" spans="1:12">
      <c r="A11">
        <v>200</v>
      </c>
      <c r="B11">
        <v>0.36599999999999999</v>
      </c>
      <c r="C11">
        <f>A11*1000/17671.46</f>
        <v>11.317683994418118</v>
      </c>
    </row>
    <row r="12" spans="1:12">
      <c r="A12">
        <v>225</v>
      </c>
      <c r="B12">
        <v>0.41699999999999998</v>
      </c>
      <c r="C12">
        <f>A12*1000/17671.46</f>
        <v>12.732394493720383</v>
      </c>
    </row>
    <row r="13" spans="1:12">
      <c r="A13">
        <v>250</v>
      </c>
      <c r="B13">
        <v>0.46899999999999997</v>
      </c>
      <c r="C13">
        <f>A13*1000/17671.46</f>
        <v>14.147104993022648</v>
      </c>
    </row>
    <row r="14" spans="1:12">
      <c r="A14">
        <v>275</v>
      </c>
      <c r="B14">
        <v>0.52200000000000002</v>
      </c>
      <c r="C14">
        <f>A14*1000/17671.46</f>
        <v>15.561815492324913</v>
      </c>
    </row>
    <row r="15" spans="1:12">
      <c r="A15">
        <v>300</v>
      </c>
      <c r="B15">
        <v>0.57599999999999996</v>
      </c>
      <c r="C15">
        <f>A15*1000/17671.46</f>
        <v>16.976525991627177</v>
      </c>
    </row>
    <row r="16" spans="1:12">
      <c r="A16">
        <v>325</v>
      </c>
      <c r="B16">
        <v>0.63100000000000001</v>
      </c>
      <c r="C16">
        <f>A16*1000/17671.46</f>
        <v>18.391236490929444</v>
      </c>
    </row>
    <row r="17" spans="1:3">
      <c r="A17">
        <v>350</v>
      </c>
      <c r="B17">
        <v>0.68799999999999994</v>
      </c>
      <c r="C17">
        <f>A17*1000/17671.46</f>
        <v>19.805946990231707</v>
      </c>
    </row>
    <row r="18" spans="1:3">
      <c r="A18">
        <v>375</v>
      </c>
      <c r="B18">
        <v>0.745</v>
      </c>
      <c r="C18">
        <f>A18*1000/17671.46</f>
        <v>21.220657489533973</v>
      </c>
    </row>
    <row r="19" spans="1:3">
      <c r="A19">
        <v>400</v>
      </c>
      <c r="B19">
        <v>0.80400000000000005</v>
      </c>
      <c r="C19">
        <f>A19*1000/17671.46</f>
        <v>22.635367988836236</v>
      </c>
    </row>
    <row r="20" spans="1:3">
      <c r="A20">
        <v>425</v>
      </c>
      <c r="B20">
        <v>0.86399999999999999</v>
      </c>
      <c r="C20">
        <f>A20*1000/17671.46</f>
        <v>24.050078488138503</v>
      </c>
    </row>
    <row r="21" spans="1:3">
      <c r="A21">
        <v>450</v>
      </c>
      <c r="B21">
        <v>0.92500000000000004</v>
      </c>
      <c r="C21">
        <f>A21*1000/17671.46</f>
        <v>25.464788987440766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2026-09-19T14:11:16Z</dcterms:created>
  <dcterms:modified xsi:type="dcterms:W3CDTF">2026-09-22T21:28:15Z</dcterms:modified>
  <cp:category/>
  <cp:contentStatus/>
</cp:coreProperties>
</file>